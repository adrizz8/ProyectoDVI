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tc={5e23a43e-db07-4d01-b81e-3ab4d95e0485}</author>
    <author>tc={678bd4f1-18fc-4751-b8c2-fd6fd9c4539b}</author>
    <author>tc={aa5a3544-0254-4938-aaaf-b0ba6e809cd0}</author>
  </authors>
  <commentList>
    <comment authorId="0" xr:uid="{5e23a43e-db07-4d01-b81e-3ab4d95e0485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Añadir las stats de los personajes en rosa
</t>
      </text>
    </comment>
    <comment authorId="1" xr:uid="{678bd4f1-18fc-4751-b8c2-fd6fd9c4539b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stats basicas
</t>
      </text>
    </comment>
    <comment authorId="2" xr:uid="{aa5a3544-0254-4938-aaaf-b0ba6e809cd0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también añadir, abajo tenemos las habilidades de cada uno de los personajes
</t>
      </text>
    </comment>
  </commentList>
</comments>
</file>

<file path=xl/sharedStrings.xml><?xml version="1.0" encoding="utf-8"?>
<sst xmlns="http://schemas.openxmlformats.org/spreadsheetml/2006/main" count="149" uniqueCount="54">
  <si>
    <t>Personajes stats</t>
  </si>
  <si>
    <t>HP</t>
  </si>
  <si>
    <t>Ataque</t>
  </si>
  <si>
    <t>Defensa</t>
  </si>
  <si>
    <t>MP</t>
  </si>
  <si>
    <t>Nivel</t>
  </si>
  <si>
    <t>C1/AB</t>
  </si>
  <si>
    <t>P1</t>
  </si>
  <si>
    <t>Primero</t>
  </si>
  <si>
    <t>C1/H1</t>
  </si>
  <si>
    <t>N1</t>
  </si>
  <si>
    <t>----</t>
  </si>
  <si>
    <t>Cafetería1</t>
  </si>
  <si>
    <t>Fermando</t>
  </si>
  <si>
    <t>Angela</t>
  </si>
  <si>
    <t>C2/AB</t>
  </si>
  <si>
    <t>Cafe</t>
  </si>
  <si>
    <t>C2/H1</t>
  </si>
  <si>
    <t>Victor</t>
  </si>
  <si>
    <t>N2</t>
  </si>
  <si>
    <t>Conserje</t>
  </si>
  <si>
    <t>Random1</t>
  </si>
  <si>
    <t>Random2</t>
  </si>
  <si>
    <t>Random3</t>
  </si>
  <si>
    <t>C3/AB</t>
  </si>
  <si>
    <t>Fernando</t>
  </si>
  <si>
    <t>Random4</t>
  </si>
  <si>
    <t>MiniBoss</t>
  </si>
  <si>
    <t>Lanchares</t>
  </si>
  <si>
    <t>Habilidad única de subir ataque</t>
  </si>
  <si>
    <t>NV</t>
  </si>
  <si>
    <t>Habilidades</t>
  </si>
  <si>
    <t>Potencia</t>
  </si>
  <si>
    <t>Coste</t>
  </si>
  <si>
    <t>Ataque basico</t>
  </si>
  <si>
    <t>Entrga ultima hora</t>
  </si>
  <si>
    <t>Funciona en mi PC</t>
  </si>
  <si>
    <t>Pregunta a ChatGPT</t>
  </si>
  <si>
    <t>Preguntar duda</t>
  </si>
  <si>
    <t>Ir a la academia</t>
  </si>
  <si>
    <t>Turno victoria rival</t>
  </si>
  <si>
    <t>Turnos victoria usuario</t>
  </si>
  <si>
    <t>1 rival</t>
  </si>
  <si>
    <t>¡A pelar cables!</t>
  </si>
  <si>
    <t>2 rivales</t>
  </si>
  <si>
    <t>3 rivales</t>
  </si>
  <si>
    <t>4 rivales</t>
  </si>
  <si>
    <t>Funciona en mi pc</t>
  </si>
  <si>
    <t>MB/AB</t>
  </si>
  <si>
    <t>Miniboss</t>
  </si>
  <si>
    <t>MB/60</t>
  </si>
  <si>
    <t>MB/30</t>
  </si>
  <si>
    <t xml:space="preserve">Turnos </t>
  </si>
  <si>
    <t>Entrega ultima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</si>
</sst>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75FF"/>
        <bgColor rgb="FFFF75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1" numFmtId="0" xfId="0" applyBorder="1" applyFill="1" applyFont="1"/>
    <xf borderId="1" fillId="0" fontId="1" numFmtId="0" xfId="0" applyBorder="1" applyFont="1"/>
    <xf borderId="0" fillId="0" fontId="1" numFmtId="0" xfId="0" applyAlignment="1" applyFont="1">
      <alignment horizontal="right" readingOrder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0" fillId="3" fontId="1" numFmtId="0" xfId="0" applyFont="1"/>
    <xf borderId="1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2" numFmtId="0" xfId="0" applyAlignment="1" applyFont="1">
      <alignment horizontal="right" readingOrder="0"/>
    </xf>
    <xf borderId="2" fillId="0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SMAEL LUCAS PARADA" id="{4b25abc4-a537-4316-8307-cd30562d0c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4-23T18:49:30.00" personId="{4b25abc4-a537-4316-8307-cd30562d0c26}" id="{678bd4f1-18fc-4751-b8c2-fd6fd9c4539b}" done="1">
    <x18tc:text xml:space="preserve">Subir stats basicas</x18tc:text>
  </x18tc:threadedComment>
  <x18tc:threadedComment ref="A13" dT="2026-05-05T14:41:11.00" personId="{4b25abc4-a537-4316-8307-cd30562d0c26}" id="{aa5a3544-0254-4938-aaaf-b0ba6e809cd0}" done="1">
    <x18tc:text xml:space="preserve">Estos también añadir, abajo tenemos las habilidades de cada uno de los personajes</x18tc:text>
  </x18tc:threadedComment>
  <x18tc:threadedComment ref="A6" dT="2026-05-05T14:40:02.00" personId="{4b25abc4-a537-4316-8307-cd30562d0c26}" id="{5e23a43e-db07-4d01-b81e-3ab4d95e0485}" done="1">
    <x18tc:text xml:space="preserve">Añadir las stats de los personajes en rosa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7</v>
      </c>
      <c r="N1" s="1" t="s">
        <v>8</v>
      </c>
    </row>
    <row r="2">
      <c r="A2" s="1" t="s">
        <v>7</v>
      </c>
      <c r="B2" s="1">
        <f> 22 + (F2 -1)*4</f>
        <v>30</v>
      </c>
      <c r="C2" s="1">
        <f> 10 + (F2 - 1) *2</f>
        <v>14</v>
      </c>
      <c r="D2" s="1">
        <f> 10 + (F2 - 1) *2</f>
        <v>14</v>
      </c>
      <c r="E2" s="1">
        <f> 10 + (F2 - 1) *2</f>
        <v>14</v>
      </c>
      <c r="F2" s="2">
        <v>3.0</v>
      </c>
      <c r="H2" s="1" t="s">
        <v>7</v>
      </c>
      <c r="I2" s="3"/>
      <c r="J2" s="4">
        <f> C2 * B19 /D3 *0.2</f>
        <v>7</v>
      </c>
      <c r="L2" s="1" t="s">
        <v>7</v>
      </c>
      <c r="M2" s="3"/>
      <c r="N2" s="1">
        <f> C2 * B22 /D3 *0.2</f>
        <v>14</v>
      </c>
    </row>
    <row r="3">
      <c r="A3" s="1" t="s">
        <v>8</v>
      </c>
      <c r="B3" s="1">
        <f> 22 + (F3 -1)*1</f>
        <v>22</v>
      </c>
      <c r="C3" s="1">
        <f> 6 + (F3 - 1) *1</f>
        <v>6</v>
      </c>
      <c r="D3" s="1">
        <f> 8 + (F3 - 1) *1</f>
        <v>8</v>
      </c>
      <c r="E3" s="1">
        <f> 10 + (F3 - 1) *1</f>
        <v>10</v>
      </c>
      <c r="F3" s="1">
        <v>1.0</v>
      </c>
      <c r="G3" s="5" t="s">
        <v>10</v>
      </c>
      <c r="H3" s="1" t="s">
        <v>8</v>
      </c>
      <c r="I3" s="4">
        <f> C3 * B19 /D2 *0.2</f>
        <v>1.714285714</v>
      </c>
      <c r="J3" s="3"/>
      <c r="L3" s="1" t="s">
        <v>8</v>
      </c>
      <c r="M3" s="1" t="s">
        <v>11</v>
      </c>
      <c r="N3" s="3"/>
    </row>
    <row r="4">
      <c r="A4" s="1" t="s">
        <v>12</v>
      </c>
      <c r="B4" s="1">
        <f> 30 + (F4 -1)*1</f>
        <v>30</v>
      </c>
      <c r="C4" s="1">
        <f> 7 + (F4 - 1) *1</f>
        <v>7</v>
      </c>
      <c r="D4" s="1">
        <f> 11 + (F4 - 1) *1</f>
        <v>11</v>
      </c>
      <c r="E4" s="1">
        <f> 8 + (F4 - 1) *1</f>
        <v>8</v>
      </c>
      <c r="F4" s="1">
        <v>1.0</v>
      </c>
    </row>
    <row r="5">
      <c r="A5" s="1" t="s">
        <v>13</v>
      </c>
      <c r="B5" s="1">
        <f> 30 + (F5 -1)*2</f>
        <v>32</v>
      </c>
      <c r="C5" s="1">
        <f> 16 + (F5 - 1) *1</f>
        <v>17</v>
      </c>
      <c r="D5" s="1">
        <f> 14 + (F5 - 1) *1</f>
        <v>15</v>
      </c>
      <c r="E5" s="1">
        <f> 10 + (F5 - 1) *1</f>
        <v>11</v>
      </c>
      <c r="F5" s="6">
        <v>2.0</v>
      </c>
    </row>
    <row r="6">
      <c r="A6" s="1" t="s">
        <v>14</v>
      </c>
      <c r="B6" s="1">
        <f> 27 + (F6 -1)*1</f>
        <v>27</v>
      </c>
      <c r="C6" s="1">
        <f> (13 + (F6 - 1) *1)</f>
        <v>13</v>
      </c>
      <c r="D6" s="1">
        <f> 12 + (F6 - 1) *1</f>
        <v>12</v>
      </c>
      <c r="E6" s="1">
        <f> 25 + (F6 -1)*1</f>
        <v>25</v>
      </c>
      <c r="F6" s="6">
        <v>1.0</v>
      </c>
      <c r="H6" s="1" t="s">
        <v>15</v>
      </c>
      <c r="I6" s="1" t="s">
        <v>7</v>
      </c>
      <c r="J6" s="1" t="s">
        <v>16</v>
      </c>
      <c r="L6" s="1" t="s">
        <v>17</v>
      </c>
      <c r="M6" s="1" t="s">
        <v>7</v>
      </c>
      <c r="N6" s="1" t="s">
        <v>16</v>
      </c>
    </row>
    <row r="7">
      <c r="A7" s="1" t="s">
        <v>18</v>
      </c>
      <c r="B7" s="1">
        <f> 20 + (F7 -1)*1</f>
        <v>20</v>
      </c>
      <c r="C7" s="1">
        <f> 15 + (F7 - 1) *1</f>
        <v>15</v>
      </c>
      <c r="D7" s="1">
        <f> 17 + (F7 - 1) *1</f>
        <v>17</v>
      </c>
      <c r="E7" s="1">
        <f> 12 + (F7 - 1) *1</f>
        <v>12</v>
      </c>
      <c r="F7" s="6">
        <v>1.0</v>
      </c>
      <c r="G7" s="5" t="s">
        <v>19</v>
      </c>
      <c r="H7" s="1" t="s">
        <v>7</v>
      </c>
      <c r="I7" s="3"/>
      <c r="J7" s="4">
        <f> C2 * B24 /D4 *0.2</f>
        <v>7.636363636</v>
      </c>
      <c r="L7" s="1" t="s">
        <v>7</v>
      </c>
      <c r="M7" s="3"/>
      <c r="N7" s="1">
        <f> C2 * B22 /D4 *0.2</f>
        <v>10.18181818</v>
      </c>
    </row>
    <row r="8">
      <c r="A8" s="1" t="s">
        <v>20</v>
      </c>
      <c r="B8" s="1">
        <f> 40 + (F8 -1)*1</f>
        <v>40</v>
      </c>
      <c r="C8" s="1">
        <f> (13 + (F8 - 1) *1)</f>
        <v>13</v>
      </c>
      <c r="D8" s="1">
        <f> 16 + (F8 - 1) *1</f>
        <v>16</v>
      </c>
      <c r="E8" s="1">
        <f> 11 + (F8 - 1) *1</f>
        <v>11</v>
      </c>
      <c r="F8" s="1">
        <v>1.0</v>
      </c>
      <c r="H8" s="1" t="s">
        <v>16</v>
      </c>
      <c r="I8" s="4">
        <f> C4 * B24 /D2 *0.2</f>
        <v>3</v>
      </c>
      <c r="J8" s="3"/>
      <c r="L8" s="1" t="s">
        <v>16</v>
      </c>
      <c r="M8" s="1">
        <f> C4 * B20 /D2 *0.2</f>
        <v>5</v>
      </c>
      <c r="N8" s="3"/>
    </row>
    <row r="9">
      <c r="A9" s="1" t="s">
        <v>21</v>
      </c>
      <c r="B9" s="1">
        <f> (25 + ($F$9 -1)*1)</f>
        <v>27</v>
      </c>
      <c r="C9" s="1">
        <f> (13 + ($F$9 -1)*1)/$G$22</f>
        <v>15</v>
      </c>
      <c r="D9" s="1">
        <f> (17 + ($F$9 -1)*1)/$G$22</f>
        <v>19</v>
      </c>
      <c r="E9" s="1">
        <f> (5 + ((($F$9 -3)/1.5 +3) -1)*1)</f>
        <v>7</v>
      </c>
      <c r="F9" s="1">
        <f t="shared" ref="F9:F14" si="1"> 3 + ($F$2 -3)*1.5</f>
        <v>3</v>
      </c>
    </row>
    <row r="10">
      <c r="A10" s="1" t="s">
        <v>22</v>
      </c>
      <c r="B10" s="1">
        <f> (32 + ($F$10 -1)*1)</f>
        <v>34</v>
      </c>
      <c r="C10" s="1">
        <f> (11 + ($F$10 -1)*1)/$G$22</f>
        <v>13</v>
      </c>
      <c r="D10" s="1">
        <f> (19 + ($F$10 -1)*1)/$G$22</f>
        <v>21</v>
      </c>
      <c r="E10" s="1">
        <f> (10 + ((($F$10 -3)/1.5 +3) -1)*1)</f>
        <v>12</v>
      </c>
      <c r="F10" s="1">
        <f t="shared" si="1"/>
        <v>3</v>
      </c>
    </row>
    <row r="11">
      <c r="A11" s="1" t="s">
        <v>23</v>
      </c>
      <c r="B11" s="1">
        <f> (28 + ($F$11 -1)*1)</f>
        <v>30</v>
      </c>
      <c r="C11" s="1">
        <f> (9 + ($F$11 -1)*1)/$G$22</f>
        <v>11</v>
      </c>
      <c r="D11" s="1">
        <f> (22 + ($F$11 -1)*1)/$G$22</f>
        <v>24</v>
      </c>
      <c r="E11" s="1">
        <f> (7 + ((($F$11 -3)/1.5 +3) -1)*1)</f>
        <v>9</v>
      </c>
      <c r="F11" s="1">
        <f t="shared" si="1"/>
        <v>3</v>
      </c>
      <c r="G11" s="7"/>
      <c r="H11" s="1" t="s">
        <v>24</v>
      </c>
      <c r="I11" s="1" t="s">
        <v>7</v>
      </c>
      <c r="J11" s="1" t="s">
        <v>25</v>
      </c>
      <c r="K11" s="1" t="s">
        <v>20</v>
      </c>
    </row>
    <row r="12">
      <c r="A12" s="1" t="s">
        <v>26</v>
      </c>
      <c r="B12" s="1">
        <f> (33 + ($F$12 -1)*1)</f>
        <v>35</v>
      </c>
      <c r="C12" s="1">
        <f> (10 + ($F$12 -1)*1)/$G$22</f>
        <v>12</v>
      </c>
      <c r="D12" s="1">
        <f> (14 + ($F$12 -1)*1)/$G$22</f>
        <v>16</v>
      </c>
      <c r="E12" s="1">
        <f> (18 + ((($F$12 -3)/1.5 +3) -1)*1)</f>
        <v>20</v>
      </c>
      <c r="F12" s="1">
        <f t="shared" si="1"/>
        <v>3</v>
      </c>
      <c r="G12" s="5" t="s">
        <v>19</v>
      </c>
      <c r="H12" s="1" t="s">
        <v>7</v>
      </c>
      <c r="I12" s="8"/>
      <c r="J12" s="3"/>
      <c r="K12" s="4">
        <f> C2 * B19 /D8 *0.2</f>
        <v>3.5</v>
      </c>
    </row>
    <row r="13">
      <c r="A13" s="1" t="s">
        <v>27</v>
      </c>
      <c r="B13" s="1">
        <f> (70 + ($F13 -1)*1)</f>
        <v>72</v>
      </c>
      <c r="C13" s="1">
        <f> (16 + ($F13 -1)*1)</f>
        <v>18</v>
      </c>
      <c r="D13" s="1">
        <f> (18 + ($F13 -1)*1)</f>
        <v>20</v>
      </c>
      <c r="E13" s="1">
        <f> (15 + ((($F13 -3)/1.5 +3) -1)*1)</f>
        <v>17</v>
      </c>
      <c r="F13" s="9">
        <f t="shared" si="1"/>
        <v>3</v>
      </c>
      <c r="G13" s="5" t="s">
        <v>10</v>
      </c>
      <c r="H13" s="1" t="s">
        <v>25</v>
      </c>
      <c r="I13" s="3"/>
      <c r="J13" s="3"/>
      <c r="K13" s="4">
        <f> C5 * B19 /D8 *0.2</f>
        <v>4.25</v>
      </c>
    </row>
    <row r="14">
      <c r="A14" s="1" t="s">
        <v>28</v>
      </c>
      <c r="B14" s="1">
        <f> (88 + ($F14 -1)*1)</f>
        <v>90</v>
      </c>
      <c r="C14" s="1">
        <f> (21 + ($F14 -1)*1)</f>
        <v>23</v>
      </c>
      <c r="D14" s="1">
        <f> (20 + ($F14 - 1) *1)</f>
        <v>22</v>
      </c>
      <c r="E14" s="1">
        <f> (50 + ((($F14 -3)/1.5 +3) -1)*1)</f>
        <v>52</v>
      </c>
      <c r="F14" s="9">
        <f t="shared" si="1"/>
        <v>3</v>
      </c>
      <c r="G14" s="7"/>
      <c r="H14" s="1" t="s">
        <v>20</v>
      </c>
      <c r="I14" s="4">
        <f> C8 * B24 /D2 *0.2</f>
        <v>5.571428571</v>
      </c>
      <c r="J14" s="4">
        <f> C8 * B24 /D5 *0.2</f>
        <v>5.2</v>
      </c>
      <c r="K14" s="3"/>
      <c r="L14" s="10" t="s">
        <v>29</v>
      </c>
    </row>
    <row r="15">
      <c r="A15" s="4"/>
      <c r="B15" s="4"/>
      <c r="C15" s="4"/>
      <c r="D15" s="4"/>
      <c r="E15" s="4"/>
      <c r="F15" s="4"/>
      <c r="G15" s="7"/>
    </row>
    <row r="16">
      <c r="G16" s="7"/>
      <c r="H16" s="1" t="s">
        <v>24</v>
      </c>
      <c r="I16" s="1" t="s">
        <v>7</v>
      </c>
      <c r="J16" s="1" t="s">
        <v>25</v>
      </c>
      <c r="K16" s="1" t="s">
        <v>21</v>
      </c>
      <c r="L16" s="1" t="s">
        <v>22</v>
      </c>
      <c r="M16" s="1" t="s">
        <v>23</v>
      </c>
      <c r="N16" s="1" t="s">
        <v>26</v>
      </c>
      <c r="P16" s="11"/>
      <c r="Q16" s="11"/>
      <c r="R16" s="11"/>
      <c r="S16" s="11"/>
    </row>
    <row r="17">
      <c r="E17" s="12">
        <f t="shared" ref="E17:E20" si="2"> E$2 +E$5</f>
        <v>25</v>
      </c>
      <c r="F17" s="12">
        <f> SUM(E$9:E$12)/4</f>
        <v>12</v>
      </c>
      <c r="G17" s="5" t="s">
        <v>30</v>
      </c>
      <c r="H17" s="1" t="s">
        <v>7</v>
      </c>
      <c r="I17" s="3"/>
      <c r="J17" s="3"/>
      <c r="K17" s="4">
        <f> $C$2 * $B$19 /$D9 *0.2</f>
        <v>2.947368421</v>
      </c>
      <c r="L17" s="4">
        <f> $C$2 * $B$19 /$D10 *0.2</f>
        <v>2.666666667</v>
      </c>
      <c r="M17" s="4">
        <f> $C$2 * $B$19 /$D11 *0.2</f>
        <v>2.333333333</v>
      </c>
      <c r="N17" s="4">
        <f> $C$2 * $B$19 /$D12 *0.2</f>
        <v>3.5</v>
      </c>
      <c r="P17" s="11"/>
      <c r="Q17" s="11"/>
      <c r="R17" s="11"/>
      <c r="S17" s="11"/>
    </row>
    <row r="18">
      <c r="A18" s="1" t="s">
        <v>31</v>
      </c>
      <c r="B18" s="1" t="s">
        <v>32</v>
      </c>
      <c r="C18" s="1" t="s">
        <v>33</v>
      </c>
      <c r="E18" s="12">
        <f t="shared" si="2"/>
        <v>25</v>
      </c>
      <c r="F18" s="12">
        <f> SUM(E$9:E$12)/4 *2</f>
        <v>24</v>
      </c>
      <c r="G18" s="5" t="s">
        <v>30</v>
      </c>
      <c r="H18" s="1" t="s">
        <v>25</v>
      </c>
      <c r="I18" s="3"/>
      <c r="J18" s="3"/>
      <c r="K18" s="4">
        <f> $C$5 * $B$19 /$D9 *0.2</f>
        <v>3.578947368</v>
      </c>
      <c r="L18" s="4">
        <f> $C$5 * $B$19 /$D10 *0.2</f>
        <v>3.238095238</v>
      </c>
      <c r="M18" s="4">
        <f> $C$5 * $B$19 /$D11 *0.2</f>
        <v>2.833333333</v>
      </c>
      <c r="N18" s="4">
        <f> $C$5 * $B$19 /$D12 *0.2</f>
        <v>4.25</v>
      </c>
    </row>
    <row r="19">
      <c r="A19" s="1" t="s">
        <v>34</v>
      </c>
      <c r="B19" s="1">
        <v>20.0</v>
      </c>
      <c r="C19" s="1">
        <v>0.0</v>
      </c>
      <c r="E19" s="12">
        <f t="shared" si="2"/>
        <v>25</v>
      </c>
      <c r="F19" s="12">
        <f> SUM(E$9:E$12)/4 *3</f>
        <v>36</v>
      </c>
      <c r="G19" s="7"/>
      <c r="H19" s="1" t="s">
        <v>21</v>
      </c>
      <c r="I19" s="4">
        <f t="shared" ref="I19:I22" si="3"> C9 * $B$19 /$D$2 *0.2</f>
        <v>4.285714286</v>
      </c>
      <c r="J19" s="4">
        <f t="shared" ref="J19:J22" si="4"> C9 * $B$19 /$D$5 *0.2</f>
        <v>4</v>
      </c>
      <c r="K19" s="3"/>
      <c r="L19" s="3"/>
      <c r="M19" s="3"/>
      <c r="N19" s="3"/>
    </row>
    <row r="20">
      <c r="A20" s="1" t="s">
        <v>35</v>
      </c>
      <c r="B20" s="1">
        <v>50.0</v>
      </c>
      <c r="C20" s="1">
        <v>3.0</v>
      </c>
      <c r="E20" s="12">
        <f t="shared" si="2"/>
        <v>25</v>
      </c>
      <c r="F20" s="12">
        <f> SUM(E$9:E$12)</f>
        <v>48</v>
      </c>
      <c r="G20" s="7"/>
      <c r="H20" s="1" t="s">
        <v>22</v>
      </c>
      <c r="I20" s="4">
        <f t="shared" si="3"/>
        <v>3.714285714</v>
      </c>
      <c r="J20" s="4">
        <f t="shared" si="4"/>
        <v>3.466666667</v>
      </c>
      <c r="K20" s="3"/>
      <c r="L20" s="3"/>
      <c r="M20" s="3"/>
      <c r="N20" s="3"/>
    </row>
    <row r="21">
      <c r="A21" s="1" t="s">
        <v>36</v>
      </c>
      <c r="B21" s="1">
        <v>60.0</v>
      </c>
      <c r="C21" s="1">
        <v>4.0</v>
      </c>
      <c r="G21" s="13">
        <v>1.0</v>
      </c>
      <c r="H21" s="1" t="s">
        <v>23</v>
      </c>
      <c r="I21" s="4">
        <f t="shared" si="3"/>
        <v>3.142857143</v>
      </c>
      <c r="J21" s="4">
        <f t="shared" si="4"/>
        <v>2.933333333</v>
      </c>
      <c r="K21" s="3"/>
      <c r="L21" s="3"/>
      <c r="M21" s="3"/>
      <c r="N21" s="3"/>
    </row>
    <row r="22">
      <c r="A22" s="1" t="s">
        <v>37</v>
      </c>
      <c r="B22" s="1">
        <v>40.0</v>
      </c>
      <c r="C22" s="1">
        <v>2.0</v>
      </c>
      <c r="G22" s="5">
        <f> 1 + LOG(G21, 3)</f>
        <v>1</v>
      </c>
      <c r="H22" s="1" t="s">
        <v>26</v>
      </c>
      <c r="I22" s="4">
        <f t="shared" si="3"/>
        <v>3.428571429</v>
      </c>
      <c r="J22" s="4">
        <f t="shared" si="4"/>
        <v>3.2</v>
      </c>
      <c r="K22" s="3"/>
      <c r="L22" s="3"/>
      <c r="M22" s="3"/>
      <c r="N22" s="3"/>
    </row>
    <row r="23">
      <c r="A23" s="1" t="s">
        <v>38</v>
      </c>
      <c r="B23" s="1">
        <v>30.0</v>
      </c>
      <c r="C23" s="1">
        <v>4.0</v>
      </c>
      <c r="G23" s="7"/>
    </row>
    <row r="24">
      <c r="A24" s="1" t="s">
        <v>39</v>
      </c>
      <c r="B24" s="1">
        <v>30.0</v>
      </c>
      <c r="C24" s="1">
        <v>4.0</v>
      </c>
      <c r="G24" s="14" t="s">
        <v>40</v>
      </c>
      <c r="H24" s="15"/>
      <c r="I24" s="15"/>
      <c r="J24" s="15"/>
      <c r="K24" s="15"/>
      <c r="L24" s="16"/>
      <c r="M24" s="14" t="s">
        <v>41</v>
      </c>
      <c r="N24" s="15"/>
      <c r="O24" s="15"/>
      <c r="P24" s="15"/>
      <c r="Q24" s="15"/>
      <c r="R24" s="16"/>
    </row>
    <row r="25">
      <c r="A25" s="4"/>
      <c r="B25" s="4"/>
      <c r="C25" s="4"/>
      <c r="F25" s="14" t="s">
        <v>42</v>
      </c>
      <c r="G25" s="17">
        <f> ($B$2 +$B$5)/(($I$19 + J19)/2)</f>
        <v>14.96551724</v>
      </c>
      <c r="H25" s="18">
        <f> ($B$2 +$B$5)/(($I$20 + J20)/2)</f>
        <v>17.26790451</v>
      </c>
      <c r="I25" s="18">
        <f> ($B$2 +$B$5)/(($I$21 + J21)/2)</f>
        <v>20.40752351</v>
      </c>
      <c r="J25" s="18">
        <f> ($B$2 +$B$5)/(($I$22 + J22)/2)</f>
        <v>18.70689655</v>
      </c>
      <c r="K25" s="18"/>
      <c r="L25" s="18"/>
      <c r="M25" s="17">
        <f t="shared" ref="M25:P25" si="5"> ($B$9)/(K$17 +K$18)</f>
        <v>4.137096774</v>
      </c>
      <c r="N25" s="18">
        <f t="shared" si="5"/>
        <v>4.572580645</v>
      </c>
      <c r="O25" s="18">
        <f t="shared" si="5"/>
        <v>5.225806452</v>
      </c>
      <c r="P25" s="18">
        <f t="shared" si="5"/>
        <v>3.483870968</v>
      </c>
      <c r="Q25" s="18"/>
      <c r="R25" s="19"/>
    </row>
    <row r="26">
      <c r="A26" s="1" t="s">
        <v>43</v>
      </c>
      <c r="B26" s="1">
        <v>12.0</v>
      </c>
      <c r="C26" s="1">
        <v>3.0</v>
      </c>
      <c r="F26" s="20" t="s">
        <v>44</v>
      </c>
      <c r="G26" s="21">
        <f> ($B$2 +$B$5)/(($I$19 + $I$20 +$J$19 +$J$20)/2)</f>
        <v>8.017241379</v>
      </c>
      <c r="H26" s="12">
        <f> ($B$2 +$B$5)/(($I$19 + $I$21 +$J$19 +$J$21)/2)</f>
        <v>8.633952255</v>
      </c>
      <c r="I26" s="12">
        <f> ($B$2 +$B$5)/(($I$19 + $I$22 +$J$19 +$J$22)/2)</f>
        <v>8.314176245</v>
      </c>
      <c r="J26" s="12">
        <f> ($B$2 +$B$5)/(($I$20 + $I$21 +$J$20 +$J$21)/2)</f>
        <v>9.353448276</v>
      </c>
      <c r="K26" s="12">
        <f> ($B$2 +$B$5)/(($I$20 + $I$22 +$J$20 +$J$22)/2)</f>
        <v>8.979310345</v>
      </c>
      <c r="L26" s="12">
        <f> ($B$2 +$B$5)/(($I$21 + $I$22 +$J$21 +$J$22)/2)</f>
        <v>9.76011994</v>
      </c>
      <c r="M26" s="21">
        <f> ($B$9 + $B$10)/(($K$17 +$K$18 + $L$17 + $L$18)/2)</f>
        <v>9.814112903</v>
      </c>
      <c r="N26" s="12">
        <f> ($B$9 + $B$11)/(($K$17 +$K$18 + $M$17 + $M$18)/2)</f>
        <v>9.749437359</v>
      </c>
      <c r="O26" s="12">
        <f> ($B$9 + $B$12)/(($K$17 +$K$18 + $N$17 + $N$18)/2)</f>
        <v>8.685714286</v>
      </c>
      <c r="P26" s="12">
        <f> ($B$10 + $B$11)/(($L$17 +$L$18 + $M$17 + $M$18)/2)</f>
        <v>11.56129032</v>
      </c>
      <c r="Q26" s="12">
        <f> ($B$10 + $B$11)/(($L$17 +$L$18 + $N$17 + $N$18)/2)</f>
        <v>9.37401918</v>
      </c>
      <c r="R26" s="22">
        <f> ($B$10 + $B$11)/(($M$17 +$M$18 + $N$17 + $N$18)/2)</f>
        <v>9.909677419</v>
      </c>
    </row>
    <row r="27">
      <c r="F27" s="20" t="s">
        <v>45</v>
      </c>
      <c r="G27" s="21">
        <f> ($B$2 +$B$5)/(($I$19 + $I$20 +$J$19 +$J$20 +$I21 +$J21)/2)</f>
        <v>5.75596817</v>
      </c>
      <c r="H27" s="12">
        <f> ($B$2 +$B$5)/(($I$19 + $I$20 +$J$19 +$J$20 +$I22 +$J22)/2)</f>
        <v>5.612068966</v>
      </c>
      <c r="I27" s="12">
        <f> ($B$2 +$B$5)/(($I$19 + $I$22 +$J$19 +$J$22 +$I21 +$J21)/2)</f>
        <v>5.907441016</v>
      </c>
      <c r="J27" s="12">
        <f> ($B$2 +$B$5)/(($I$22 + $I$20 +$J$22 +$J$20 +$I21 +$J21)/2)</f>
        <v>6.235632184</v>
      </c>
      <c r="M27" s="21">
        <f> ($B$9 + $B$10)/(($K$17 +$K$18 + $L$17 + $L$18 + $M$17 + $M$18)/3)</f>
        <v>10.39906003</v>
      </c>
      <c r="N27" s="12">
        <f> ($B$9 + $B$10)/(($K$17 +$K$18 + $L$17 + $L$18 + $N$17 + $N$18)/3)</f>
        <v>9.067900276</v>
      </c>
      <c r="O27" s="12">
        <f> ($B$9 + $B$10)/(($K$17 +$K$18 + $N$17 + $N$18 + $M$17 + $M$18)/3)</f>
        <v>9.412136251</v>
      </c>
      <c r="P27" s="12">
        <f> ($B$9 + $B$10)/(($N$17 +$N$18 + $L$17 + $L$18 + $M$17 + $M$18)/3)</f>
        <v>9.722960152</v>
      </c>
      <c r="R27" s="22"/>
    </row>
    <row r="28">
      <c r="F28" s="23" t="s">
        <v>46</v>
      </c>
      <c r="G28" s="24">
        <f> ($B$2 +$B$5)/(($I$19 + $I$20 +$J$19 +$J$20 +$I21 +$J21 +$I22 +$J22)/2)</f>
        <v>4.401622718</v>
      </c>
      <c r="H28" s="25"/>
      <c r="I28" s="25"/>
      <c r="J28" s="25"/>
      <c r="K28" s="25"/>
      <c r="L28" s="25"/>
      <c r="M28" s="24">
        <f> ($B$9 + $B$10)/(($K$17 +$K$18 + $L$17 + $L$18 + $M$17 + $M$18 + $N$17 + $N$18)/3)</f>
        <v>7.219577308</v>
      </c>
      <c r="N28" s="25"/>
      <c r="O28" s="25"/>
      <c r="P28" s="25"/>
      <c r="Q28" s="25"/>
      <c r="R28" s="26"/>
    </row>
    <row r="30">
      <c r="K30" s="27" t="s">
        <v>47</v>
      </c>
      <c r="Q30" s="27" t="s">
        <v>39</v>
      </c>
    </row>
    <row r="31">
      <c r="E31" s="1" t="s">
        <v>48</v>
      </c>
      <c r="F31" s="1" t="s">
        <v>7</v>
      </c>
      <c r="G31" s="1" t="s">
        <v>25</v>
      </c>
      <c r="H31" s="1" t="s">
        <v>14</v>
      </c>
      <c r="I31" s="1" t="s">
        <v>49</v>
      </c>
      <c r="J31" s="10"/>
      <c r="K31" s="1" t="s">
        <v>50</v>
      </c>
      <c r="L31" s="1" t="s">
        <v>7</v>
      </c>
      <c r="M31" s="1" t="s">
        <v>25</v>
      </c>
      <c r="N31" s="1" t="s">
        <v>14</v>
      </c>
      <c r="O31" s="1" t="s">
        <v>49</v>
      </c>
      <c r="Q31" s="1" t="s">
        <v>51</v>
      </c>
      <c r="R31" s="1" t="s">
        <v>7</v>
      </c>
      <c r="S31" s="1" t="s">
        <v>25</v>
      </c>
      <c r="T31" s="1" t="s">
        <v>14</v>
      </c>
      <c r="U31" s="1" t="s">
        <v>49</v>
      </c>
    </row>
    <row r="32">
      <c r="E32" s="1" t="s">
        <v>7</v>
      </c>
      <c r="F32" s="3"/>
      <c r="G32" s="3"/>
      <c r="H32" s="3"/>
      <c r="I32" s="4">
        <f> $C$2 * $B$19 /$D$13 *0.2</f>
        <v>2.8</v>
      </c>
      <c r="K32" s="1" t="s">
        <v>7</v>
      </c>
      <c r="L32" s="3"/>
      <c r="M32" s="3"/>
      <c r="N32" s="3"/>
      <c r="O32" s="4">
        <f> $C$2 * $B$19 /$D$13 *0.2</f>
        <v>2.8</v>
      </c>
      <c r="Q32" s="1" t="s">
        <v>7</v>
      </c>
      <c r="R32" s="3"/>
      <c r="S32" s="3"/>
      <c r="T32" s="3"/>
      <c r="U32" s="4">
        <f> $C$2 * $B$19 /$D$13 *0.2</f>
        <v>2.8</v>
      </c>
    </row>
    <row r="33">
      <c r="E33" s="1" t="s">
        <v>25</v>
      </c>
      <c r="F33" s="3"/>
      <c r="G33" s="3"/>
      <c r="H33" s="3"/>
      <c r="I33" s="4">
        <f> $C$5 * $B$19 /$D$13 *0.2</f>
        <v>3.4</v>
      </c>
      <c r="K33" s="1" t="s">
        <v>25</v>
      </c>
      <c r="L33" s="3"/>
      <c r="M33" s="3"/>
      <c r="N33" s="3"/>
      <c r="O33" s="4">
        <f> $C$5 * $B$19 /$D$13 *0.2</f>
        <v>3.4</v>
      </c>
      <c r="Q33" s="1" t="s">
        <v>25</v>
      </c>
      <c r="R33" s="3"/>
      <c r="S33" s="3"/>
      <c r="T33" s="3"/>
      <c r="U33" s="4">
        <f> $C$5 * $B$19 /$D$13 *0.2</f>
        <v>3.4</v>
      </c>
    </row>
    <row r="34">
      <c r="E34" s="1" t="s">
        <v>14</v>
      </c>
      <c r="F34" s="3"/>
      <c r="G34" s="3"/>
      <c r="H34" s="3"/>
      <c r="I34" s="4">
        <f> $C$6 * $B$19 /$D$13 *0.2</f>
        <v>2.6</v>
      </c>
      <c r="K34" s="1" t="s">
        <v>14</v>
      </c>
      <c r="L34" s="3"/>
      <c r="M34" s="3"/>
      <c r="N34" s="3"/>
      <c r="O34" s="4">
        <f> $C$6 * $B$19 /$D$13 *0.2</f>
        <v>2.6</v>
      </c>
      <c r="Q34" s="1" t="s">
        <v>14</v>
      </c>
      <c r="R34" s="3"/>
      <c r="S34" s="3"/>
      <c r="T34" s="3"/>
      <c r="U34" s="4">
        <f> $C$6 * $B$19 /$D$13 *0.2</f>
        <v>2.6</v>
      </c>
    </row>
    <row r="35">
      <c r="E35" s="1" t="s">
        <v>49</v>
      </c>
      <c r="F35" s="4">
        <f> $C$13 * $B$19 /$D$2 *0.2</f>
        <v>5.142857143</v>
      </c>
      <c r="G35" s="4">
        <f> $C$13 * $B$19 /$D$5 *0.2</f>
        <v>4.8</v>
      </c>
      <c r="H35" s="4">
        <f> $C$13 * $B$19 /$D$6 *0.2</f>
        <v>6</v>
      </c>
      <c r="I35" s="3"/>
      <c r="K35" s="1" t="s">
        <v>49</v>
      </c>
      <c r="L35" s="4">
        <f> $C$13 * $B$21 /$D$2 *0.2</f>
        <v>15.42857143</v>
      </c>
      <c r="M35" s="4">
        <f> $C$13 * $B$21 /$D$5 *0.2</f>
        <v>14.4</v>
      </c>
      <c r="N35" s="4">
        <f> $C$13 * $B$21 /$D$6 *0.2</f>
        <v>18</v>
      </c>
      <c r="O35" s="3"/>
      <c r="Q35" s="1" t="s">
        <v>49</v>
      </c>
      <c r="R35" s="4">
        <f> $C$13 * $B$24 /$D$2 *0.2</f>
        <v>7.714285714</v>
      </c>
      <c r="S35" s="4">
        <f> $C$13 * $B$24 /$D$5 *0.2</f>
        <v>7.2</v>
      </c>
      <c r="T35" s="4">
        <f> $C$13 * $B$24 /$D$6 *0.2</f>
        <v>9</v>
      </c>
      <c r="U35" s="3"/>
    </row>
    <row r="36">
      <c r="E36" s="10"/>
    </row>
    <row r="37">
      <c r="E37" s="10"/>
      <c r="F37" s="10" t="s">
        <v>52</v>
      </c>
    </row>
    <row r="38">
      <c r="F38" s="12">
        <f>($B2+$B5+$B6)/((F35+G35+H35)/3)</f>
        <v>16.74731183</v>
      </c>
      <c r="H38" s="12">
        <f>B13 / (I32+I33+I34)</f>
        <v>8.181818182</v>
      </c>
    </row>
    <row r="40">
      <c r="L40" s="27" t="s">
        <v>53</v>
      </c>
      <c r="S40" s="27" t="s">
        <v>43</v>
      </c>
    </row>
    <row r="41">
      <c r="E41" s="1" t="s">
        <v>48</v>
      </c>
      <c r="F41" s="1" t="s">
        <v>7</v>
      </c>
      <c r="G41" s="1" t="s">
        <v>25</v>
      </c>
      <c r="H41" s="1" t="s">
        <v>14</v>
      </c>
      <c r="I41" s="10" t="s">
        <v>18</v>
      </c>
      <c r="J41" s="1" t="s">
        <v>49</v>
      </c>
      <c r="L41" s="1" t="s">
        <v>50</v>
      </c>
      <c r="M41" s="1" t="s">
        <v>7</v>
      </c>
      <c r="N41" s="1" t="s">
        <v>25</v>
      </c>
      <c r="O41" s="1" t="s">
        <v>14</v>
      </c>
      <c r="P41" s="10" t="s">
        <v>18</v>
      </c>
      <c r="Q41" s="1" t="s">
        <v>49</v>
      </c>
      <c r="S41" s="1" t="s">
        <v>51</v>
      </c>
      <c r="T41" s="1" t="s">
        <v>7</v>
      </c>
      <c r="U41" s="1" t="s">
        <v>25</v>
      </c>
      <c r="V41" s="1" t="s">
        <v>14</v>
      </c>
      <c r="W41" s="10" t="s">
        <v>18</v>
      </c>
      <c r="X41" s="1" t="s">
        <v>49</v>
      </c>
    </row>
    <row r="42">
      <c r="E42" s="1" t="s">
        <v>7</v>
      </c>
      <c r="F42" s="3"/>
      <c r="G42" s="3"/>
      <c r="H42" s="3"/>
      <c r="I42" s="8"/>
      <c r="J42" s="4">
        <f> $C$2 * $B$19 /$D$14 *0.2</f>
        <v>2.545454545</v>
      </c>
      <c r="L42" s="1" t="s">
        <v>7</v>
      </c>
      <c r="M42" s="3"/>
      <c r="N42" s="3"/>
      <c r="O42" s="3"/>
      <c r="P42" s="8"/>
      <c r="Q42" s="4">
        <f> $C$2 * $B$19 /$D$14 *0.2</f>
        <v>2.545454545</v>
      </c>
      <c r="S42" s="1" t="s">
        <v>7</v>
      </c>
      <c r="T42" s="3"/>
      <c r="U42" s="3"/>
      <c r="V42" s="3"/>
      <c r="W42" s="8"/>
      <c r="X42" s="4">
        <f> $C$2 * $B$19 /$D$14 *0.2</f>
        <v>2.545454545</v>
      </c>
    </row>
    <row r="43">
      <c r="E43" s="1" t="s">
        <v>25</v>
      </c>
      <c r="F43" s="3"/>
      <c r="G43" s="3"/>
      <c r="H43" s="3"/>
      <c r="I43" s="8"/>
      <c r="J43" s="4">
        <f> $C$5 * $B$19 /$D$14 *0.2</f>
        <v>3.090909091</v>
      </c>
      <c r="L43" s="1" t="s">
        <v>25</v>
      </c>
      <c r="M43" s="3"/>
      <c r="N43" s="3"/>
      <c r="O43" s="3"/>
      <c r="P43" s="8"/>
      <c r="Q43" s="4">
        <f> $C$5 * $B$19 /$D$14 *0.2</f>
        <v>3.090909091</v>
      </c>
      <c r="S43" s="1" t="s">
        <v>25</v>
      </c>
      <c r="T43" s="3"/>
      <c r="U43" s="3"/>
      <c r="V43" s="3"/>
      <c r="W43" s="8"/>
      <c r="X43" s="4">
        <f> $C$5 * $B$19 /$D$14 *0.2</f>
        <v>3.090909091</v>
      </c>
    </row>
    <row r="44">
      <c r="E44" s="1" t="s">
        <v>14</v>
      </c>
      <c r="F44" s="3"/>
      <c r="G44" s="3"/>
      <c r="H44" s="3"/>
      <c r="I44" s="8"/>
      <c r="J44" s="4">
        <f> $C$6 * $B$19 /$D$14 *0.2</f>
        <v>2.363636364</v>
      </c>
      <c r="L44" s="1" t="s">
        <v>14</v>
      </c>
      <c r="M44" s="3"/>
      <c r="N44" s="3"/>
      <c r="O44" s="3"/>
      <c r="P44" s="8"/>
      <c r="Q44" s="4">
        <f> $C$6 * $B$19 /$D$14 *0.2</f>
        <v>2.363636364</v>
      </c>
      <c r="S44" s="1" t="s">
        <v>14</v>
      </c>
      <c r="T44" s="3"/>
      <c r="U44" s="3"/>
      <c r="V44" s="3"/>
      <c r="W44" s="8"/>
      <c r="X44" s="4">
        <f> $C$6 * $B$19 /$D$14 *0.2</f>
        <v>2.363636364</v>
      </c>
    </row>
    <row r="45">
      <c r="E45" s="10" t="s">
        <v>18</v>
      </c>
      <c r="F45" s="8"/>
      <c r="G45" s="8"/>
      <c r="H45" s="8"/>
      <c r="I45" s="8"/>
      <c r="J45" s="4">
        <f> $C$7 * $B$19 /$D$14 *0.2</f>
        <v>2.727272727</v>
      </c>
      <c r="L45" s="10" t="s">
        <v>18</v>
      </c>
      <c r="M45" s="8"/>
      <c r="N45" s="8"/>
      <c r="O45" s="8"/>
      <c r="P45" s="8"/>
      <c r="Q45" s="4">
        <f> $C$7 *B21 /$D$14 *0.2</f>
        <v>8.181818182</v>
      </c>
      <c r="S45" s="10" t="s">
        <v>18</v>
      </c>
      <c r="T45" s="8"/>
      <c r="U45" s="8"/>
      <c r="V45" s="8"/>
      <c r="W45" s="8"/>
      <c r="X45" s="4">
        <f> $C$7 * $B$19 /$D$14 *0.2</f>
        <v>2.727272727</v>
      </c>
    </row>
    <row r="46">
      <c r="E46" s="1" t="s">
        <v>28</v>
      </c>
      <c r="F46" s="4">
        <f> $C$14 * $B$19 /$D$2 *0.2</f>
        <v>6.571428571</v>
      </c>
      <c r="G46" s="4">
        <f> $C$14 * $B$19 /$D$5 *0.2</f>
        <v>6.133333333</v>
      </c>
      <c r="H46" s="4">
        <f> $C$14 * $B$19 /$D$6 *0.2</f>
        <v>7.666666667</v>
      </c>
      <c r="I46" s="4">
        <f> $C$7 * $B$19 /$D$6 *0.2</f>
        <v>5</v>
      </c>
      <c r="J46" s="3"/>
      <c r="L46" s="1" t="s">
        <v>28</v>
      </c>
      <c r="M46" s="4">
        <f> $C$14 * $B$20 /$D$2 *0.2</f>
        <v>16.42857143</v>
      </c>
      <c r="N46" s="4">
        <f> $C$14 * $B$20 /$D$5 *0.2</f>
        <v>15.33333333</v>
      </c>
      <c r="O46" s="4">
        <f> $C$14 * $B$20 /$D$6 *0.2</f>
        <v>19.16666667</v>
      </c>
      <c r="P46" s="4">
        <f> $C$14 * $B$20 /$D$7 *0.2</f>
        <v>13.52941176</v>
      </c>
      <c r="Q46" s="3"/>
      <c r="S46" s="1" t="s">
        <v>28</v>
      </c>
      <c r="T46" s="4">
        <f> $C$14 *B26 /$D$2 *0.2</f>
        <v>3.942857143</v>
      </c>
      <c r="U46" s="4">
        <f> $C$14 * $B$26 /$D$5 *0.2</f>
        <v>3.68</v>
      </c>
      <c r="V46" s="4">
        <f> $C$14 * $B$26 /$D$6 *0.2</f>
        <v>4.6</v>
      </c>
      <c r="W46" s="4">
        <f> $C$14 * $B$26 /$D$7 *0.2</f>
        <v>3.247058824</v>
      </c>
      <c r="X46" s="3"/>
    </row>
    <row r="48">
      <c r="F48" s="10" t="s">
        <v>52</v>
      </c>
    </row>
    <row r="49">
      <c r="F49" s="12">
        <f>(B2+B5+B6+B7)/((F46+G46+H46+I46)/4)</f>
        <v>17.18468468</v>
      </c>
      <c r="H49" s="12">
        <f>B14 / (J42+J43+J44+J45)</f>
        <v>8.389830508</v>
      </c>
    </row>
  </sheetData>
  <mergeCells count="6">
    <mergeCell ref="G24:L24"/>
    <mergeCell ref="M24:R24"/>
    <mergeCell ref="K30:L30"/>
    <mergeCell ref="Q30:R30"/>
    <mergeCell ref="L40:M40"/>
    <mergeCell ref="S40:T40"/>
  </mergeCells>
  <drawing r:id="rId4"/>
  <legacyDrawing r:id="rId5"/>
</worksheet>
</file>